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\TSM_AnSeqData\Projet\SteamUsers_Timeseries_Tracking\"/>
    </mc:Choice>
  </mc:AlternateContent>
  <xr:revisionPtr revIDLastSave="0" documentId="8_{AA844F77-A7DE-408A-9CBF-785481265878}" xr6:coauthVersionLast="47" xr6:coauthVersionMax="47" xr10:uidLastSave="{00000000-0000-0000-0000-000000000000}"/>
  <bookViews>
    <workbookView xWindow="-108" yWindow="-108" windowWidth="23256" windowHeight="12456" xr2:uid="{FA1C6350-00B3-445E-8E42-A527E7BA514A}"/>
  </bookViews>
  <sheets>
    <sheet name="Estimation croissanc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E11" i="1"/>
  <c r="E6" i="1"/>
  <c r="E7" i="1"/>
  <c r="E8" i="1"/>
  <c r="E5" i="1"/>
  <c r="E4" i="1"/>
  <c r="E3" i="1"/>
  <c r="B11" i="1"/>
  <c r="C11" i="1"/>
  <c r="C10" i="1"/>
  <c r="B10" i="1"/>
  <c r="B8" i="1"/>
  <c r="G4" i="1"/>
  <c r="G5" i="1" s="1"/>
  <c r="G6" i="1" s="1"/>
  <c r="G7" i="1" s="1"/>
  <c r="G8" i="1" s="1"/>
  <c r="G3" i="1"/>
  <c r="B7" i="1"/>
  <c r="B6" i="1"/>
  <c r="B5" i="1"/>
  <c r="C4" i="1"/>
  <c r="B3" i="1"/>
  <c r="G11" i="1" l="1"/>
  <c r="G10" i="1"/>
</calcChain>
</file>

<file path=xl/sharedStrings.xml><?xml version="1.0" encoding="utf-8"?>
<sst xmlns="http://schemas.openxmlformats.org/spreadsheetml/2006/main" count="11" uniqueCount="11">
  <si>
    <t>Population mondiale</t>
  </si>
  <si>
    <t>Tranche d'âge joueurs 10-60 ans</t>
  </si>
  <si>
    <t>Qui ont accès à internet</t>
  </si>
  <si>
    <t>Qui ont intérêt pour les JV</t>
  </si>
  <si>
    <t>Intérêt JV PC</t>
  </si>
  <si>
    <t>Intérêt steam</t>
  </si>
  <si>
    <t>% connexions mensuelle</t>
  </si>
  <si>
    <t>Actuel</t>
  </si>
  <si>
    <t>% connexion quotidienn</t>
  </si>
  <si>
    <t>dans 10 ans</t>
  </si>
  <si>
    <t>Augmentation annuelle estimée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</si>
</sst>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3" fontId="0" fillId="0" borderId="0" xfId="0" applyNumberFormat="1"/>
    <xf numFmtId="10" fontId="0" fillId="0" borderId="0" xfId="1" applyNumberFormat="1" applyFont="1"/>
    <xf numFmtId="3" fontId="0" fillId="2" borderId="0" xfId="0" applyNumberFormat="1" applyFill="1"/>
    <xf numFmtId="9" fontId="0" fillId="2" borderId="0" xfId="0" applyNumberFormat="1" applyFill="1"/>
    <xf numFmtId="10" fontId="0" fillId="0" borderId="0" xfId="0" applyNumberFormat="1"/>
    <xf numFmtId="3" fontId="0" fillId="0" borderId="0" xfId="0" applyNumberFormat="1" applyFill="1"/>
    <xf numFmtId="10" fontId="0" fillId="2" borderId="0" xfId="0" applyNumberFormat="1" applyFill="1"/>
    <xf numFmtId="10" fontId="0" fillId="2" borderId="0" xfId="1" applyNumberFormat="1" applyFont="1" applyFill="1"/>
    <xf numFmtId="0" fontId="0" fillId="0" borderId="0" xfId="0" applyAlignment="1">
      <alignment horizontal="center" wrapText="1"/>
    </xf>
    <xf numFmtId="10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7E665-D349-4A87-96D8-CB624ABAA59B}">
  <dimension ref="A2:H12"/>
  <sheetViews>
    <sheetView tabSelected="1" workbookViewId="0">
      <selection activeCell="F13" sqref="F13"/>
    </sheetView>
  </sheetViews>
  <sheetFormatPr baseColWidth="10" defaultRowHeight="14.4" x14ac:dyDescent="0.3"/>
  <cols>
    <col min="1" max="1" width="27" bestFit="1" customWidth="1"/>
    <col min="2" max="2" width="12" bestFit="1" customWidth="1"/>
    <col min="5" max="5" width="15.88671875" style="11" customWidth="1"/>
    <col min="7" max="7" width="12" bestFit="1" customWidth="1"/>
  </cols>
  <sheetData>
    <row r="2" spans="1:8" ht="28.8" x14ac:dyDescent="0.3">
      <c r="B2" t="s">
        <v>7</v>
      </c>
      <c r="E2" s="9" t="s">
        <v>10</v>
      </c>
      <c r="G2" t="s">
        <v>9</v>
      </c>
    </row>
    <row r="3" spans="1:8" x14ac:dyDescent="0.3">
      <c r="A3" t="s">
        <v>0</v>
      </c>
      <c r="B3" s="3">
        <f>8100000000</f>
        <v>8100000000</v>
      </c>
      <c r="E3" s="10">
        <f>(1-B3/G3)/10</f>
        <v>9.9999999999999985E-3</v>
      </c>
      <c r="G3" s="3">
        <f>9000000000</f>
        <v>9000000000</v>
      </c>
    </row>
    <row r="4" spans="1:8" x14ac:dyDescent="0.3">
      <c r="A4" t="s">
        <v>1</v>
      </c>
      <c r="B4" s="3">
        <v>5300000000</v>
      </c>
      <c r="C4" s="2">
        <f>B4/B3</f>
        <v>0.65432098765432101</v>
      </c>
      <c r="E4" s="10">
        <f t="shared" ref="E4:E8" si="0">(1-B4/G4)/10</f>
        <v>-7.070707070707072E-3</v>
      </c>
      <c r="G4" s="3">
        <f>G3*H4</f>
        <v>4950000000</v>
      </c>
      <c r="H4" s="5">
        <v>0.55000000000000004</v>
      </c>
    </row>
    <row r="5" spans="1:8" x14ac:dyDescent="0.3">
      <c r="A5" t="s">
        <v>2</v>
      </c>
      <c r="B5" s="1">
        <f>B4*C5</f>
        <v>3445000000</v>
      </c>
      <c r="C5" s="4">
        <v>0.65</v>
      </c>
      <c r="E5" s="10">
        <f>(1-C5/H5)/10</f>
        <v>1.8749999999999999E-2</v>
      </c>
      <c r="G5" s="1">
        <f>G4*H5</f>
        <v>3960000000</v>
      </c>
      <c r="H5" s="4">
        <v>0.8</v>
      </c>
    </row>
    <row r="6" spans="1:8" x14ac:dyDescent="0.3">
      <c r="A6" t="s">
        <v>3</v>
      </c>
      <c r="B6" s="1">
        <f>B5*C6</f>
        <v>1722500000</v>
      </c>
      <c r="C6" s="4">
        <v>0.5</v>
      </c>
      <c r="E6" s="10">
        <f t="shared" ref="E6:E11" si="1">(1-C6/H6)/10</f>
        <v>1.6666666666666663E-2</v>
      </c>
      <c r="G6" s="1">
        <f t="shared" ref="G6:G8" si="2">G5*H6</f>
        <v>2376000000</v>
      </c>
      <c r="H6" s="4">
        <v>0.6</v>
      </c>
    </row>
    <row r="7" spans="1:8" x14ac:dyDescent="0.3">
      <c r="A7" t="s">
        <v>4</v>
      </c>
      <c r="B7" s="1">
        <f>B6*C7</f>
        <v>861250000</v>
      </c>
      <c r="C7" s="4">
        <v>0.5</v>
      </c>
      <c r="E7" s="10">
        <f t="shared" si="1"/>
        <v>2.8571428571428571E-2</v>
      </c>
      <c r="G7" s="1">
        <f t="shared" si="2"/>
        <v>1663200000</v>
      </c>
      <c r="H7" s="4">
        <v>0.7</v>
      </c>
    </row>
    <row r="8" spans="1:8" x14ac:dyDescent="0.3">
      <c r="A8" t="s">
        <v>5</v>
      </c>
      <c r="B8" s="1">
        <f>B7*C8</f>
        <v>602875000</v>
      </c>
      <c r="C8" s="4">
        <v>0.7</v>
      </c>
      <c r="E8" s="10">
        <f t="shared" si="1"/>
        <v>1.2500000000000011E-2</v>
      </c>
      <c r="G8" s="1">
        <f t="shared" si="2"/>
        <v>1330560000</v>
      </c>
      <c r="H8" s="4">
        <v>0.8</v>
      </c>
    </row>
    <row r="9" spans="1:8" x14ac:dyDescent="0.3">
      <c r="B9" s="1"/>
      <c r="E9" s="10"/>
    </row>
    <row r="10" spans="1:8" x14ac:dyDescent="0.3">
      <c r="A10" t="s">
        <v>6</v>
      </c>
      <c r="B10" s="3">
        <f>132000000</f>
        <v>132000000</v>
      </c>
      <c r="C10" s="5">
        <f>B10/B8</f>
        <v>0.21895086046029441</v>
      </c>
      <c r="E10" s="10">
        <f t="shared" si="1"/>
        <v>2.180326412132343E-2</v>
      </c>
      <c r="G10" s="6">
        <f>G8*H10</f>
        <v>372556800.00000006</v>
      </c>
      <c r="H10" s="7">
        <v>0.28000000000000003</v>
      </c>
    </row>
    <row r="11" spans="1:8" x14ac:dyDescent="0.3">
      <c r="A11" t="s">
        <v>8</v>
      </c>
      <c r="B11" s="3">
        <f>69000000</f>
        <v>69000000</v>
      </c>
      <c r="C11" s="2">
        <f>B11/B8</f>
        <v>0.11445158614969936</v>
      </c>
      <c r="E11" s="10">
        <f t="shared" si="1"/>
        <v>2.3698942566867089E-2</v>
      </c>
      <c r="G11" s="6">
        <f>G8*H11</f>
        <v>199584000</v>
      </c>
      <c r="H11" s="8">
        <v>0.15</v>
      </c>
    </row>
    <row r="12" spans="1:8" x14ac:dyDescent="0.3">
      <c r="B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Estimation croissances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Robyr Eloi</dc:creator>
  <cp:lastModifiedBy>Robyr Eloi</cp:lastModifiedBy>
  <dcterms:created xsi:type="dcterms:W3CDTF">2025-12-03T13:13:06Z</dcterms:created>
  <dcterms:modified xsi:type="dcterms:W3CDTF">2025-12-03T13:33:28Z</dcterms:modified>
</cp:coreProperties>
</file>